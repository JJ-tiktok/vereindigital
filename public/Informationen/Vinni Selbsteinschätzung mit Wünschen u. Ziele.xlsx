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13_ncr:1_{DA5FB3DD-9887-4464-A907-F8221D159A71}" xr6:coauthVersionLast="47" xr6:coauthVersionMax="47" xr10:uidLastSave="{00000000-0000-0000-0000-000000000000}"/>
  <bookViews>
    <workbookView xWindow="28680" yWindow="-120" windowWidth="29040" windowHeight="15720" xr2:uid="{12F67FED-0F63-1C47-9EFD-AF7D5EA5C1BE}"/>
  </bookViews>
  <sheets>
    <sheet name="Selbsteinschätzung Torwartspiel" sheetId="1" r:id="rId1"/>
  </sheets>
  <definedNames>
    <definedName name="_xlnm.Print_Area" localSheetId="0">'Selbsteinschätzung Torwartspiel'!$A$1:$O$90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3" i="1" l="1"/>
  <c r="A48" i="1"/>
  <c r="A39" i="1"/>
  <c r="A29" i="1"/>
  <c r="A25" i="1"/>
  <c r="D56" i="1"/>
  <c r="D46" i="1"/>
  <c r="D23" i="1"/>
  <c r="D12" i="1"/>
</calcChain>
</file>

<file path=xl/sharedStrings.xml><?xml version="1.0" encoding="utf-8"?>
<sst xmlns="http://schemas.openxmlformats.org/spreadsheetml/2006/main" count="62" uniqueCount="61">
  <si>
    <t>Selbsteinschätzung Torwartspiel</t>
  </si>
  <si>
    <t>Name:</t>
  </si>
  <si>
    <t>Basistechniken</t>
  </si>
  <si>
    <t>Abkipptechniken</t>
  </si>
  <si>
    <t>Abdrucktechniken</t>
  </si>
  <si>
    <t>1vs.TW &amp; Nahdistanz</t>
  </si>
  <si>
    <t>Flanken (Bewegungsablauf &amp; Timing)</t>
  </si>
  <si>
    <t>Fragen/Wünsche/Anregungen:</t>
  </si>
  <si>
    <t>Spieleröffnung</t>
  </si>
  <si>
    <t>Zielverteidigung</t>
  </si>
  <si>
    <t>Raumverteidigung</t>
  </si>
  <si>
    <t>Defensiv</t>
  </si>
  <si>
    <t>Offensiv</t>
  </si>
  <si>
    <t>Viel Spaß ;-)</t>
  </si>
  <si>
    <t>An diesem/n Punkt/en meines Torwartspiels möchte ich unbedingt arbeiten:</t>
  </si>
  <si>
    <t>Darauf hab ich im Torwarttraining besonders Bock (z.B. Koordinationsleiter):</t>
  </si>
  <si>
    <t>Darauf hab ich im Training überhaupt keinen Bock (z.B. Koordinationsleiter):</t>
  </si>
  <si>
    <t>Mein Ziel für die Rückrunde:</t>
  </si>
  <si>
    <t xml:space="preserve">Flugball indirekt </t>
  </si>
  <si>
    <t xml:space="preserve">Flugball direkt </t>
  </si>
  <si>
    <t xml:space="preserve">Passspiel </t>
  </si>
  <si>
    <t xml:space="preserve">Abwurf </t>
  </si>
  <si>
    <t xml:space="preserve">Abschlag Hüftdrehstoß </t>
  </si>
  <si>
    <t xml:space="preserve">Fangen halbhoch </t>
  </si>
  <si>
    <t xml:space="preserve">Fangen flach zentral </t>
  </si>
  <si>
    <t xml:space="preserve">Übergreifen </t>
  </si>
  <si>
    <t xml:space="preserve">Lob-Abwehr </t>
  </si>
  <si>
    <t xml:space="preserve">Abtauchen </t>
  </si>
  <si>
    <t xml:space="preserve">Ballangriff </t>
  </si>
  <si>
    <t xml:space="preserve">1.Pfosten </t>
  </si>
  <si>
    <t xml:space="preserve">Zentral </t>
  </si>
  <si>
    <t xml:space="preserve">Fausten </t>
  </si>
  <si>
    <t>Taktische Fähigkeiten</t>
  </si>
  <si>
    <t>Technische Fähigkeiten</t>
  </si>
  <si>
    <t xml:space="preserve">Stellungsspiel Zielverteidigung </t>
  </si>
  <si>
    <t xml:space="preserve">Stellungsspiel Raumverteidigung </t>
  </si>
  <si>
    <t xml:space="preserve">Querpassverteidigung </t>
  </si>
  <si>
    <t xml:space="preserve">Verhalten 1vs.TW </t>
  </si>
  <si>
    <t xml:space="preserve">Mitspielen / Spieleröffnung </t>
  </si>
  <si>
    <t xml:space="preserve">Umschaltspiel / Kontereinleitung </t>
  </si>
  <si>
    <t xml:space="preserve">     Verhalten / Mitspielen bei Steilpässen </t>
  </si>
  <si>
    <t>Datum:</t>
  </si>
  <si>
    <t>2. Pfosten</t>
  </si>
  <si>
    <t>*</t>
  </si>
  <si>
    <t xml:space="preserve">Abk flach </t>
  </si>
  <si>
    <t xml:space="preserve">Abk halbhoch </t>
  </si>
  <si>
    <t xml:space="preserve">Abd flach </t>
  </si>
  <si>
    <t xml:space="preserve">Abd halbhoch </t>
  </si>
  <si>
    <t xml:space="preserve">Block kurz </t>
  </si>
  <si>
    <t xml:space="preserve">Block lang </t>
  </si>
  <si>
    <t xml:space="preserve">Ballan-/mitnahme </t>
  </si>
  <si>
    <t>Bitte benote Dich selbst in den unten angeführten Kategorien von 0 bis 15.</t>
  </si>
  <si>
    <t>Sollte es Fragen geben, dann melde Dich gerne.</t>
  </si>
  <si>
    <r>
      <t xml:space="preserve">* </t>
    </r>
    <r>
      <rPr>
        <i/>
        <sz val="13"/>
        <color theme="1"/>
        <rFont val="Arial"/>
        <family val="2"/>
      </rPr>
      <t xml:space="preserve">Eine Frage noch zum Thema Abdruck: Kennst Du den Unterschied zwischen 'positivem Abdruck' und 'negativem Abdruck'?        </t>
    </r>
    <r>
      <rPr>
        <sz val="13"/>
        <color theme="1"/>
        <rFont val="Arial"/>
        <family val="2"/>
      </rPr>
      <t xml:space="preserve"> (Antwort bitte "Ja" oder "Nein")</t>
    </r>
  </si>
  <si>
    <t>©LionKreuzberger</t>
  </si>
  <si>
    <t>Abschlag Dropkick</t>
  </si>
  <si>
    <t>Vincent Schwall</t>
  </si>
  <si>
    <t>Raumverteidigung und Strafraumbeherrschung</t>
  </si>
  <si>
    <t>Möglichst viele Spiele machen ;)</t>
  </si>
  <si>
    <t>-</t>
  </si>
  <si>
    <t>Ich mag eigentlich alles :)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</si>
</sst>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7]d/\ mmmm\ yyyy;@"/>
  </numFmts>
  <fonts count="17" x14ac:knownFonts="1">
    <font>
      <sz val="12"/>
      <color theme="1"/>
      <name val="Calibri"/>
      <family val="2"/>
      <scheme val="minor"/>
    </font>
    <font>
      <b/>
      <u/>
      <sz val="30"/>
      <color theme="1"/>
      <name val="Arial"/>
      <family val="2"/>
    </font>
    <font>
      <sz val="12"/>
      <color theme="1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i/>
      <sz val="14.5"/>
      <color theme="1"/>
      <name val="Arial"/>
      <family val="2"/>
    </font>
    <font>
      <u/>
      <sz val="20"/>
      <color theme="1"/>
      <name val="Arial"/>
      <family val="2"/>
    </font>
    <font>
      <i/>
      <sz val="16"/>
      <color theme="1"/>
      <name val="Arial"/>
      <family val="2"/>
    </font>
    <font>
      <sz val="12"/>
      <color theme="0"/>
      <name val="Arial"/>
      <family val="2"/>
    </font>
    <font>
      <sz val="14"/>
      <color theme="1"/>
      <name val="Arial"/>
      <family val="2"/>
    </font>
    <font>
      <b/>
      <sz val="16"/>
      <color theme="1"/>
      <name val="Arial"/>
      <family val="2"/>
    </font>
    <font>
      <sz val="13.5"/>
      <color theme="1"/>
      <name val="Arial"/>
      <family val="2"/>
    </font>
    <font>
      <sz val="13"/>
      <color theme="1"/>
      <name val="Arial"/>
      <family val="2"/>
    </font>
    <font>
      <sz val="14"/>
      <color theme="0"/>
      <name val="Arial"/>
      <family val="2"/>
    </font>
    <font>
      <i/>
      <sz val="13"/>
      <color theme="1"/>
      <name val="Arial"/>
      <family val="2"/>
    </font>
    <font>
      <sz val="7"/>
      <color theme="0" tint="-0.34998626667073579"/>
      <name val="Arial"/>
      <family val="2"/>
    </font>
    <font>
      <sz val="2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2" borderId="0" xfId="0" applyFont="1" applyFill="1"/>
    <xf numFmtId="0" fontId="7" fillId="2" borderId="7" xfId="0" applyFont="1" applyFill="1" applyBorder="1"/>
    <xf numFmtId="0" fontId="2" fillId="2" borderId="7" xfId="0" applyFont="1" applyFill="1" applyBorder="1"/>
    <xf numFmtId="0" fontId="2" fillId="2" borderId="0" xfId="0" applyFont="1" applyFill="1" applyAlignment="1">
      <alignment horizontal="right"/>
    </xf>
    <xf numFmtId="0" fontId="8" fillId="2" borderId="7" xfId="0" applyFont="1" applyFill="1" applyBorder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2" borderId="26" xfId="0" applyFont="1" applyFill="1" applyBorder="1"/>
    <xf numFmtId="0" fontId="5" fillId="2" borderId="7" xfId="0" applyFont="1" applyFill="1" applyBorder="1"/>
    <xf numFmtId="0" fontId="6" fillId="2" borderId="7" xfId="0" applyFont="1" applyFill="1" applyBorder="1"/>
    <xf numFmtId="0" fontId="8" fillId="2" borderId="0" xfId="0" applyFont="1" applyFill="1" applyAlignment="1">
      <alignment horizontal="center"/>
    </xf>
    <xf numFmtId="0" fontId="2" fillId="2" borderId="1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0" xfId="0" applyFont="1" applyFill="1" applyAlignment="1">
      <alignment horizontal="left"/>
    </xf>
    <xf numFmtId="0" fontId="13" fillId="2" borderId="7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/>
      <protection locked="0"/>
    </xf>
    <xf numFmtId="0" fontId="2" fillId="2" borderId="19" xfId="0" applyFont="1" applyFill="1" applyBorder="1"/>
    <xf numFmtId="0" fontId="2" fillId="2" borderId="18" xfId="0" applyFont="1" applyFill="1" applyBorder="1"/>
    <xf numFmtId="0" fontId="2" fillId="2" borderId="18" xfId="0" applyFont="1" applyFill="1" applyBorder="1" applyAlignment="1">
      <alignment horizontal="center"/>
    </xf>
    <xf numFmtId="0" fontId="2" fillId="2" borderId="5" xfId="0" applyFont="1" applyFill="1" applyBorder="1"/>
    <xf numFmtId="0" fontId="2" fillId="2" borderId="6" xfId="0" applyFont="1" applyFill="1" applyBorder="1"/>
    <xf numFmtId="0" fontId="2" fillId="2" borderId="8" xfId="0" applyFont="1" applyFill="1" applyBorder="1"/>
    <xf numFmtId="0" fontId="0" fillId="2" borderId="0" xfId="0" applyFill="1"/>
    <xf numFmtId="0" fontId="2" fillId="2" borderId="20" xfId="0" applyFont="1" applyFill="1" applyBorder="1"/>
    <xf numFmtId="0" fontId="15" fillId="2" borderId="7" xfId="0" applyFont="1" applyFill="1" applyBorder="1"/>
    <xf numFmtId="164" fontId="10" fillId="2" borderId="22" xfId="0" applyNumberFormat="1" applyFont="1" applyFill="1" applyBorder="1" applyAlignment="1" applyProtection="1">
      <alignment horizontal="center"/>
      <protection locked="0"/>
    </xf>
    <xf numFmtId="0" fontId="1" fillId="2" borderId="4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4" fillId="2" borderId="21" xfId="0" applyFont="1" applyFill="1" applyBorder="1" applyAlignment="1" applyProtection="1">
      <alignment horizontal="left"/>
      <protection locked="0"/>
    </xf>
    <xf numFmtId="0" fontId="4" fillId="2" borderId="22" xfId="0" applyFont="1" applyFill="1" applyBorder="1" applyAlignment="1" applyProtection="1">
      <alignment horizontal="left"/>
      <protection locked="0"/>
    </xf>
    <xf numFmtId="0" fontId="12" fillId="3" borderId="15" xfId="0" applyFont="1" applyFill="1" applyBorder="1" applyAlignment="1">
      <alignment horizontal="left"/>
    </xf>
    <xf numFmtId="0" fontId="11" fillId="3" borderId="16" xfId="0" applyFont="1" applyFill="1" applyBorder="1" applyAlignment="1">
      <alignment horizontal="left"/>
    </xf>
    <xf numFmtId="0" fontId="11" fillId="3" borderId="17" xfId="0" applyFont="1" applyFill="1" applyBorder="1" applyAlignment="1">
      <alignment horizontal="left"/>
    </xf>
    <xf numFmtId="0" fontId="12" fillId="2" borderId="12" xfId="0" applyFont="1" applyFill="1" applyBorder="1" applyAlignment="1">
      <alignment horizontal="left"/>
    </xf>
    <xf numFmtId="0" fontId="12" fillId="2" borderId="13" xfId="0" applyFont="1" applyFill="1" applyBorder="1" applyAlignment="1">
      <alignment horizontal="left"/>
    </xf>
    <xf numFmtId="0" fontId="12" fillId="2" borderId="14" xfId="0" applyFont="1" applyFill="1" applyBorder="1" applyAlignment="1">
      <alignment horizontal="left"/>
    </xf>
    <xf numFmtId="0" fontId="2" fillId="2" borderId="27" xfId="0" applyFont="1" applyFill="1" applyBorder="1" applyAlignment="1">
      <alignment horizontal="center"/>
    </xf>
    <xf numFmtId="0" fontId="2" fillId="2" borderId="28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16" fillId="2" borderId="0" xfId="0" applyFont="1" applyFill="1" applyAlignment="1">
      <alignment horizontal="center"/>
    </xf>
    <xf numFmtId="0" fontId="16" fillId="2" borderId="8" xfId="0" applyFont="1" applyFill="1" applyBorder="1" applyAlignment="1">
      <alignment horizontal="center"/>
    </xf>
    <xf numFmtId="0" fontId="2" fillId="2" borderId="23" xfId="0" applyFont="1" applyFill="1" applyBorder="1" applyAlignment="1" applyProtection="1">
      <alignment horizontal="left" vertical="top" wrapText="1"/>
      <protection locked="0"/>
    </xf>
    <xf numFmtId="0" fontId="2" fillId="2" borderId="24" xfId="0" applyFont="1" applyFill="1" applyBorder="1" applyAlignment="1" applyProtection="1">
      <alignment horizontal="left" vertical="top" wrapText="1"/>
      <protection locked="0"/>
    </xf>
    <xf numFmtId="0" fontId="2" fillId="2" borderId="25" xfId="0" applyFont="1" applyFill="1" applyBorder="1" applyAlignment="1" applyProtection="1">
      <alignment horizontal="left" vertical="top" wrapText="1"/>
      <protection locked="0"/>
    </xf>
    <xf numFmtId="0" fontId="2" fillId="2" borderId="7" xfId="0" applyFont="1" applyFill="1" applyBorder="1" applyAlignment="1" applyProtection="1">
      <alignment horizontal="left" vertical="top" wrapText="1"/>
      <protection locked="0"/>
    </xf>
    <xf numFmtId="0" fontId="2" fillId="2" borderId="0" xfId="0" applyFont="1" applyFill="1" applyAlignment="1" applyProtection="1">
      <alignment horizontal="left" vertical="top" wrapText="1"/>
      <protection locked="0"/>
    </xf>
    <xf numFmtId="0" fontId="2" fillId="2" borderId="8" xfId="0" applyFont="1" applyFill="1" applyBorder="1" applyAlignment="1" applyProtection="1">
      <alignment horizontal="left" vertical="top" wrapText="1"/>
      <protection locked="0"/>
    </xf>
    <xf numFmtId="0" fontId="2" fillId="2" borderId="9" xfId="0" applyFont="1" applyFill="1" applyBorder="1" applyAlignment="1" applyProtection="1">
      <alignment horizontal="left" vertical="top" wrapText="1"/>
      <protection locked="0"/>
    </xf>
    <xf numFmtId="0" fontId="2" fillId="2" borderId="10" xfId="0" applyFont="1" applyFill="1" applyBorder="1" applyAlignment="1" applyProtection="1">
      <alignment horizontal="left" vertical="top" wrapText="1"/>
      <protection locked="0"/>
    </xf>
    <xf numFmtId="0" fontId="2" fillId="2" borderId="11" xfId="0" applyFont="1" applyFill="1" applyBorder="1" applyAlignment="1" applyProtection="1">
      <alignment horizontal="left" vertical="top" wrapText="1"/>
      <protection locked="0"/>
    </xf>
    <xf numFmtId="0" fontId="11" fillId="3" borderId="15" xfId="0" applyFont="1" applyFill="1" applyBorder="1" applyAlignment="1" applyProtection="1">
      <alignment horizontal="center"/>
      <protection locked="0"/>
    </xf>
    <xf numFmtId="0" fontId="11" fillId="3" borderId="17" xfId="0" applyFont="1" applyFill="1" applyBorder="1" applyAlignment="1" applyProtection="1">
      <alignment horizontal="center"/>
      <protection locked="0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8" xfId="0" applyFont="1" applyFill="1" applyBorder="1" applyAlignment="1">
      <alignment horizontal="center"/>
    </xf>
  </cellXfs>
  <cellStyles count="1">
    <cellStyle name="Standard" xfId="0" builtinId="0"/>
  </cellStyles>
  <dxfs count="9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00B050"/>
        </patternFill>
      </fill>
    </dxf>
    <dxf>
      <fill>
        <patternFill>
          <bgColor rgb="FFFFFF66"/>
        </patternFill>
      </fill>
    </dxf>
    <dxf>
      <fill>
        <patternFill>
          <bgColor rgb="FFFEA402"/>
        </patternFill>
      </fill>
    </dxf>
    <dxf>
      <fill>
        <patternFill>
          <bgColor rgb="FFFF505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FF5050"/>
      <color rgb="FFFEA402"/>
      <color rgb="FFFFFF66"/>
      <color rgb="FF00FF00"/>
      <color rgb="FF55A54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2200" cap="none" spc="100" baseline="0">
                <a:solidFill>
                  <a:schemeClr val="tx1"/>
                </a:solidFill>
              </a:rPr>
              <a:t>Spieleröffnung</a:t>
            </a:r>
          </a:p>
        </c:rich>
      </c:tx>
      <c:layout>
        <c:manualLayout>
          <c:xMode val="edge"/>
          <c:yMode val="edge"/>
          <c:x val="4.973455792934991E-3"/>
          <c:y val="8.6498196743763304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7800096862360896"/>
          <c:y val="0.20427804012882633"/>
          <c:w val="0.43905417589086071"/>
          <c:h val="0.68348646518520773"/>
        </c:manualLayout>
      </c:layout>
      <c:radarChart>
        <c:radarStyle val="filled"/>
        <c:varyColors val="0"/>
        <c:ser>
          <c:idx val="1"/>
          <c:order val="0"/>
          <c:spPr>
            <a:solidFill>
              <a:srgbClr val="55A54E"/>
            </a:solidFill>
            <a:ln w="12700">
              <a:solidFill>
                <a:schemeClr val="accent6">
                  <a:lumMod val="60000"/>
                  <a:lumOff val="40000"/>
                </a:schemeClr>
              </a:solidFill>
              <a:prstDash val="solid"/>
              <a:round/>
            </a:ln>
          </c:spPr>
          <c:cat>
            <c:strRef>
              <c:f>'Selbsteinschätzung Torwartspiel'!$C$14:$C$20</c:f>
              <c:strCache>
                <c:ptCount val="7"/>
                <c:pt idx="0">
                  <c:v>Abwurf </c:v>
                </c:pt>
                <c:pt idx="1">
                  <c:v>Passspiel </c:v>
                </c:pt>
                <c:pt idx="2">
                  <c:v>Ballan-/mitnahme </c:v>
                </c:pt>
                <c:pt idx="3">
                  <c:v>Flugball direkt </c:v>
                </c:pt>
                <c:pt idx="4">
                  <c:v>Flugball indirekt </c:v>
                </c:pt>
                <c:pt idx="5">
                  <c:v>Abschlag Dropkick</c:v>
                </c:pt>
                <c:pt idx="6">
                  <c:v>Abschlag Hüftdrehstoß </c:v>
                </c:pt>
              </c:strCache>
            </c:strRef>
          </c:cat>
          <c:val>
            <c:numRef>
              <c:f>'Selbsteinschätzung Torwartspiel'!$D$14:$D$20</c:f>
              <c:numCache>
                <c:formatCode>General</c:formatCode>
                <c:ptCount val="7"/>
                <c:pt idx="0">
                  <c:v>8</c:v>
                </c:pt>
                <c:pt idx="1">
                  <c:v>7</c:v>
                </c:pt>
                <c:pt idx="2">
                  <c:v>5</c:v>
                </c:pt>
                <c:pt idx="3">
                  <c:v>7</c:v>
                </c:pt>
                <c:pt idx="4">
                  <c:v>9</c:v>
                </c:pt>
                <c:pt idx="5">
                  <c:v>6</c:v>
                </c:pt>
                <c:pt idx="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868-4DAD-92DB-92FE145D8FE1}"/>
            </c:ext>
          </c:extLst>
        </c:ser>
        <c:ser>
          <c:idx val="0"/>
          <c:order val="1"/>
          <c:spPr>
            <a:solidFill>
              <a:srgbClr val="55A54E"/>
            </a:solidFill>
            <a:ln w="12700">
              <a:solidFill>
                <a:schemeClr val="accent6">
                  <a:lumMod val="60000"/>
                  <a:lumOff val="40000"/>
                </a:schemeClr>
              </a:solidFill>
              <a:prstDash val="solid"/>
              <a:round/>
            </a:ln>
            <a:effectLst/>
          </c:spPr>
          <c:cat>
            <c:strRef>
              <c:f>'Selbsteinschätzung Torwartspiel'!$C$14:$C$20</c:f>
              <c:strCache>
                <c:ptCount val="7"/>
                <c:pt idx="0">
                  <c:v>Abwurf </c:v>
                </c:pt>
                <c:pt idx="1">
                  <c:v>Passspiel </c:v>
                </c:pt>
                <c:pt idx="2">
                  <c:v>Ballan-/mitnahme </c:v>
                </c:pt>
                <c:pt idx="3">
                  <c:v>Flugball direkt </c:v>
                </c:pt>
                <c:pt idx="4">
                  <c:v>Flugball indirekt </c:v>
                </c:pt>
                <c:pt idx="5">
                  <c:v>Abschlag Dropkick</c:v>
                </c:pt>
                <c:pt idx="6">
                  <c:v>Abschlag Hüftdrehstoß </c:v>
                </c:pt>
              </c:strCache>
            </c:strRef>
          </c:cat>
          <c:val>
            <c:numRef>
              <c:f>'Selbsteinschätzung Torwartspiel'!$D$14:$D$20</c:f>
              <c:numCache>
                <c:formatCode>General</c:formatCode>
                <c:ptCount val="7"/>
                <c:pt idx="0">
                  <c:v>8</c:v>
                </c:pt>
                <c:pt idx="1">
                  <c:v>7</c:v>
                </c:pt>
                <c:pt idx="2">
                  <c:v>5</c:v>
                </c:pt>
                <c:pt idx="3">
                  <c:v>7</c:v>
                </c:pt>
                <c:pt idx="4">
                  <c:v>9</c:v>
                </c:pt>
                <c:pt idx="5">
                  <c:v>6</c:v>
                </c:pt>
                <c:pt idx="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68-4DAD-92DB-92FE145D8F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3531264"/>
        <c:axId val="683525440"/>
      </c:radarChart>
      <c:catAx>
        <c:axId val="683531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683525440"/>
        <c:crosses val="autoZero"/>
        <c:auto val="1"/>
        <c:lblAlgn val="ctr"/>
        <c:lblOffset val="100"/>
        <c:noMultiLvlLbl val="0"/>
      </c:catAx>
      <c:valAx>
        <c:axId val="683525440"/>
        <c:scaling>
          <c:orientation val="minMax"/>
          <c:max val="15"/>
        </c:scaling>
        <c:delete val="1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683531264"/>
        <c:crosses val="autoZero"/>
        <c:crossBetween val="between"/>
      </c:valAx>
    </c:plotArea>
    <c:plotVisOnly val="1"/>
    <c:dispBlanksAs val="gap"/>
    <c:showDLblsOverMax val="0"/>
    <c:extLst/>
  </c:chart>
  <c:spPr>
    <a:ln>
      <a:solidFill>
        <a:schemeClr val="tx1"/>
      </a:solidFill>
    </a:ln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de-DE" sz="22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de-DE" sz="2200" b="1" i="0" u="none" strike="noStrike" kern="1200" cap="none" spc="10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Zielverteidigung</a:t>
            </a:r>
          </a:p>
        </c:rich>
      </c:tx>
      <c:layout>
        <c:manualLayout>
          <c:xMode val="edge"/>
          <c:yMode val="edge"/>
          <c:x val="4.5707238828042521E-3"/>
          <c:y val="1.186312849641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de-DE" sz="2200" b="1" i="0" u="none" strike="noStrike" kern="1200" cap="all" spc="1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0.28219552396387582"/>
          <c:y val="0.20198152738180444"/>
          <c:w val="0.43278645682288946"/>
          <c:h val="0.66535043140925887"/>
        </c:manualLayout>
      </c:layout>
      <c:radarChart>
        <c:radarStyle val="filled"/>
        <c:varyColors val="0"/>
        <c:ser>
          <c:idx val="0"/>
          <c:order val="0"/>
          <c:spPr>
            <a:solidFill>
              <a:srgbClr val="55A54E"/>
            </a:solidFill>
            <a:ln>
              <a:solidFill>
                <a:schemeClr val="accent6">
                  <a:lumMod val="60000"/>
                  <a:lumOff val="40000"/>
                </a:schemeClr>
              </a:solidFill>
            </a:ln>
            <a:effectLst/>
          </c:spPr>
          <c:cat>
            <c:strRef>
              <c:f>('Selbsteinschätzung Torwartspiel'!$C$26:$C$27,'Selbsteinschätzung Torwartspiel'!$C$30:$C$31,'Selbsteinschätzung Torwartspiel'!$C$34:$C$37,'Selbsteinschätzung Torwartspiel'!$C$40:$C$43)</c:f>
              <c:strCache>
                <c:ptCount val="12"/>
                <c:pt idx="0">
                  <c:v>Fangen halbhoch </c:v>
                </c:pt>
                <c:pt idx="1">
                  <c:v>Fangen flach zentral </c:v>
                </c:pt>
                <c:pt idx="2">
                  <c:v>Abk flach </c:v>
                </c:pt>
                <c:pt idx="3">
                  <c:v>Abk halbhoch </c:v>
                </c:pt>
                <c:pt idx="4">
                  <c:v>Abd flach </c:v>
                </c:pt>
                <c:pt idx="5">
                  <c:v>Abd halbhoch </c:v>
                </c:pt>
                <c:pt idx="6">
                  <c:v>Übergreifen </c:v>
                </c:pt>
                <c:pt idx="7">
                  <c:v>Lob-Abwehr </c:v>
                </c:pt>
                <c:pt idx="8">
                  <c:v>Abtauchen </c:v>
                </c:pt>
                <c:pt idx="9">
                  <c:v>Block kurz </c:v>
                </c:pt>
                <c:pt idx="10">
                  <c:v>Block lang </c:v>
                </c:pt>
                <c:pt idx="11">
                  <c:v>Ballangriff </c:v>
                </c:pt>
              </c:strCache>
            </c:strRef>
          </c:cat>
          <c:val>
            <c:numRef>
              <c:f>('Selbsteinschätzung Torwartspiel'!$D$26:$D$27,'Selbsteinschätzung Torwartspiel'!$D$30:$D$31,'Selbsteinschätzung Torwartspiel'!$D$34:$D$37,'Selbsteinschätzung Torwartspiel'!$D$40:$D$43)</c:f>
              <c:numCache>
                <c:formatCode>General</c:formatCode>
                <c:ptCount val="12"/>
                <c:pt idx="0">
                  <c:v>13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13</c:v>
                </c:pt>
                <c:pt idx="6">
                  <c:v>12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54-4F9C-AA73-B5693139D9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8747776"/>
        <c:axId val="958731968"/>
      </c:radarChart>
      <c:catAx>
        <c:axId val="95874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958731968"/>
        <c:crosses val="autoZero"/>
        <c:auto val="1"/>
        <c:lblAlgn val="ctr"/>
        <c:lblOffset val="100"/>
        <c:noMultiLvlLbl val="0"/>
      </c:catAx>
      <c:valAx>
        <c:axId val="958731968"/>
        <c:scaling>
          <c:orientation val="minMax"/>
          <c:max val="15"/>
          <c:min val="0"/>
        </c:scaling>
        <c:delete val="1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958747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2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2200" cap="none" spc="100" baseline="0">
                <a:solidFill>
                  <a:schemeClr val="tx1"/>
                </a:solidFill>
              </a:rPr>
              <a:t>Raumverteidigung</a:t>
            </a:r>
          </a:p>
        </c:rich>
      </c:tx>
      <c:layout>
        <c:manualLayout>
          <c:xMode val="edge"/>
          <c:yMode val="edge"/>
          <c:x val="4.4636866417978342E-3"/>
          <c:y val="7.131111664505341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0.3246556126528678"/>
          <c:y val="0.15959730317659737"/>
          <c:w val="0.36651489793999681"/>
          <c:h val="0.74849885068587019"/>
        </c:manualLayout>
      </c:layout>
      <c:radarChart>
        <c:radarStyle val="filled"/>
        <c:varyColors val="0"/>
        <c:ser>
          <c:idx val="0"/>
          <c:order val="0"/>
          <c:spPr>
            <a:solidFill>
              <a:srgbClr val="55A54E"/>
            </a:solidFill>
            <a:ln w="25400">
              <a:noFill/>
              <a:prstDash val="sysDot"/>
            </a:ln>
            <a:effectLst>
              <a:outerShdw dist="50800" sx="1000" sy="1000" algn="ctr" rotWithShape="0">
                <a:schemeClr val="bg1"/>
              </a:outerShdw>
            </a:effectLst>
          </c:spPr>
          <c:cat>
            <c:strRef>
              <c:f>'Selbsteinschätzung Torwartspiel'!$C$49:$C$52</c:f>
              <c:strCache>
                <c:ptCount val="4"/>
                <c:pt idx="0">
                  <c:v>1.Pfosten </c:v>
                </c:pt>
                <c:pt idx="1">
                  <c:v>Zentral </c:v>
                </c:pt>
                <c:pt idx="2">
                  <c:v>2. Pfosten</c:v>
                </c:pt>
                <c:pt idx="3">
                  <c:v>Fausten </c:v>
                </c:pt>
              </c:strCache>
            </c:strRef>
          </c:cat>
          <c:val>
            <c:numRef>
              <c:f>'Selbsteinschätzung Torwartspiel'!$D$49:$D$52</c:f>
              <c:numCache>
                <c:formatCode>General</c:formatCode>
                <c:ptCount val="4"/>
                <c:pt idx="0">
                  <c:v>7</c:v>
                </c:pt>
                <c:pt idx="1">
                  <c:v>7</c:v>
                </c:pt>
                <c:pt idx="2">
                  <c:v>6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D9-4681-AD92-B8E9C8EE83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8791872"/>
        <c:axId val="958795616"/>
      </c:radarChart>
      <c:catAx>
        <c:axId val="958791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958795616"/>
        <c:crosses val="autoZero"/>
        <c:auto val="1"/>
        <c:lblAlgn val="ctr"/>
        <c:lblOffset val="100"/>
        <c:noMultiLvlLbl val="0"/>
      </c:catAx>
      <c:valAx>
        <c:axId val="958795616"/>
        <c:scaling>
          <c:orientation val="minMax"/>
          <c:max val="1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58791872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2200" b="1">
                <a:solidFill>
                  <a:schemeClr val="tx1"/>
                </a:solidFill>
              </a:rPr>
              <a:t>Taktische Fähigkeiten</a:t>
            </a:r>
          </a:p>
        </c:rich>
      </c:tx>
      <c:layout>
        <c:manualLayout>
          <c:xMode val="edge"/>
          <c:yMode val="edge"/>
          <c:x val="2.021676659306E-3"/>
          <c:y val="2.22270405992846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0.33012849695401325"/>
          <c:y val="0.19031043910035156"/>
          <c:w val="0.33441061499724201"/>
          <c:h val="0.75473516953479525"/>
        </c:manualLayout>
      </c:layout>
      <c:radarChart>
        <c:radarStyle val="filled"/>
        <c:varyColors val="0"/>
        <c:ser>
          <c:idx val="0"/>
          <c:order val="0"/>
          <c:spPr>
            <a:solidFill>
              <a:srgbClr val="55A54E"/>
            </a:solidFill>
            <a:ln>
              <a:solidFill>
                <a:srgbClr val="55A54E"/>
              </a:solidFill>
            </a:ln>
            <a:effectLst/>
          </c:spPr>
          <c:cat>
            <c:strRef>
              <c:f>('Selbsteinschätzung Torwartspiel'!$C$60:$C$64,'Selbsteinschätzung Torwartspiel'!$C$69:$C$70)</c:f>
              <c:strCache>
                <c:ptCount val="7"/>
                <c:pt idx="0">
                  <c:v>Stellungsspiel Zielverteidigung </c:v>
                </c:pt>
                <c:pt idx="1">
                  <c:v>Stellungsspiel Raumverteidigung </c:v>
                </c:pt>
                <c:pt idx="2">
                  <c:v>Querpassverteidigung </c:v>
                </c:pt>
                <c:pt idx="3">
                  <c:v>     Verhalten / Mitspielen bei Steilpässen </c:v>
                </c:pt>
                <c:pt idx="4">
                  <c:v>Verhalten 1vs.TW </c:v>
                </c:pt>
                <c:pt idx="5">
                  <c:v>Mitspielen / Spieleröffnung </c:v>
                </c:pt>
                <c:pt idx="6">
                  <c:v>Umschaltspiel / Kontereinleitung </c:v>
                </c:pt>
              </c:strCache>
            </c:strRef>
          </c:cat>
          <c:val>
            <c:numRef>
              <c:f>('Selbsteinschätzung Torwartspiel'!$D$60:$D$64,'Selbsteinschätzung Torwartspiel'!$D$69:$D$70)</c:f>
              <c:numCache>
                <c:formatCode>General</c:formatCode>
                <c:ptCount val="7"/>
                <c:pt idx="0">
                  <c:v>11</c:v>
                </c:pt>
                <c:pt idx="1">
                  <c:v>10</c:v>
                </c:pt>
                <c:pt idx="2">
                  <c:v>7</c:v>
                </c:pt>
                <c:pt idx="3">
                  <c:v>7</c:v>
                </c:pt>
                <c:pt idx="4">
                  <c:v>10</c:v>
                </c:pt>
                <c:pt idx="5">
                  <c:v>5</c:v>
                </c:pt>
                <c:pt idx="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4A-40B9-92D7-09B4B6CD25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8776064"/>
        <c:axId val="958759424"/>
      </c:radarChart>
      <c:catAx>
        <c:axId val="958776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958759424"/>
        <c:crosses val="autoZero"/>
        <c:auto val="1"/>
        <c:lblAlgn val="ctr"/>
        <c:lblOffset val="100"/>
        <c:noMultiLvlLbl val="0"/>
      </c:catAx>
      <c:valAx>
        <c:axId val="958759424"/>
        <c:scaling>
          <c:orientation val="minMax"/>
          <c:max val="1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58776064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de-DE" sz="2400" b="1" i="0" u="sng" strike="noStrike" kern="1200" cap="all" spc="1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2400" b="1" i="0" u="sng" strike="noStrike" kern="1200" cap="none" spc="100" baseline="0">
                <a:solidFill>
                  <a:schemeClr val="tx1"/>
                </a:solidFill>
                <a:latin typeface="+mn-lt"/>
                <a:ea typeface="+mn-ea"/>
                <a:cs typeface="+mn-cs"/>
              </a:rPr>
              <a:t>Übersicht</a:t>
            </a:r>
          </a:p>
        </c:rich>
      </c:tx>
      <c:layout>
        <c:manualLayout>
          <c:xMode val="edge"/>
          <c:yMode val="edge"/>
          <c:x val="2.2994636380686662E-2"/>
          <c:y val="4.123762987070217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50103070115626425"/>
          <c:y val="0.16791647454909969"/>
          <c:w val="0.22244709533194401"/>
          <c:h val="0.61288534454526811"/>
        </c:manualLayout>
      </c:layout>
      <c:radarChart>
        <c:radarStyle val="filled"/>
        <c:varyColors val="0"/>
        <c:ser>
          <c:idx val="1"/>
          <c:order val="0"/>
          <c:spPr>
            <a:solidFill>
              <a:srgbClr val="55A54E"/>
            </a:solidFill>
          </c:spPr>
          <c:cat>
            <c:strRef>
              <c:f>('Selbsteinschätzung Torwartspiel'!$A$12,'Selbsteinschätzung Torwartspiel'!$A$23,'Selbsteinschätzung Torwartspiel'!$A$46,'Selbsteinschätzung Torwartspiel'!$A$56)</c:f>
              <c:strCache>
                <c:ptCount val="4"/>
                <c:pt idx="0">
                  <c:v>Spieleröffnung</c:v>
                </c:pt>
                <c:pt idx="1">
                  <c:v>Zielverteidigung</c:v>
                </c:pt>
                <c:pt idx="2">
                  <c:v>Raumverteidigung</c:v>
                </c:pt>
                <c:pt idx="3">
                  <c:v>Taktische Fähigkeiten</c:v>
                </c:pt>
              </c:strCache>
            </c:strRef>
          </c:cat>
          <c:val>
            <c:numRef>
              <c:f>('Selbsteinschätzung Torwartspiel'!$D$12,'Selbsteinschätzung Torwartspiel'!$D$23,'Selbsteinschätzung Torwartspiel'!$D$46,'Selbsteinschätzung Torwartspiel'!$D$56)</c:f>
              <c:numCache>
                <c:formatCode>General</c:formatCode>
                <c:ptCount val="4"/>
                <c:pt idx="0">
                  <c:v>7.1428571428571432</c:v>
                </c:pt>
                <c:pt idx="1">
                  <c:v>11.416666666666666</c:v>
                </c:pt>
                <c:pt idx="2">
                  <c:v>7.25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E5-C24A-B3F8-C0D2B85E9E12}"/>
            </c:ext>
          </c:extLst>
        </c:ser>
        <c:ser>
          <c:idx val="0"/>
          <c:order val="1"/>
          <c:spPr>
            <a:solidFill>
              <a:srgbClr val="55A54E"/>
            </a:solidFill>
            <a:ln>
              <a:noFill/>
            </a:ln>
            <a:effectLst/>
          </c:spPr>
          <c:cat>
            <c:strRef>
              <c:f>('Selbsteinschätzung Torwartspiel'!$A$12,'Selbsteinschätzung Torwartspiel'!$A$23,'Selbsteinschätzung Torwartspiel'!$A$46,'Selbsteinschätzung Torwartspiel'!$A$56)</c:f>
              <c:strCache>
                <c:ptCount val="4"/>
                <c:pt idx="0">
                  <c:v>Spieleröffnung</c:v>
                </c:pt>
                <c:pt idx="1">
                  <c:v>Zielverteidigung</c:v>
                </c:pt>
                <c:pt idx="2">
                  <c:v>Raumverteidigung</c:v>
                </c:pt>
                <c:pt idx="3">
                  <c:v>Taktische Fähigkeiten</c:v>
                </c:pt>
              </c:strCache>
            </c:strRef>
          </c:cat>
          <c:val>
            <c:numRef>
              <c:f>('Selbsteinschätzung Torwartspiel'!$D$12,'Selbsteinschätzung Torwartspiel'!$D$23,'Selbsteinschätzung Torwartspiel'!$D$46,'Selbsteinschätzung Torwartspiel'!$D$56)</c:f>
              <c:numCache>
                <c:formatCode>General</c:formatCode>
                <c:ptCount val="4"/>
                <c:pt idx="0">
                  <c:v>7.1428571428571432</c:v>
                </c:pt>
                <c:pt idx="1">
                  <c:v>11.416666666666666</c:v>
                </c:pt>
                <c:pt idx="2">
                  <c:v>7.25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E5-C24A-B3F8-C0D2B85E9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6651712"/>
        <c:axId val="956646720"/>
      </c:radarChart>
      <c:catAx>
        <c:axId val="956651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956646720"/>
        <c:crosses val="autoZero"/>
        <c:auto val="1"/>
        <c:lblAlgn val="ctr"/>
        <c:lblOffset val="100"/>
        <c:noMultiLvlLbl val="0"/>
      </c:catAx>
      <c:valAx>
        <c:axId val="956646720"/>
        <c:scaling>
          <c:orientation val="minMax"/>
          <c:max val="15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noFill/>
                <a:latin typeface="+mn-lt"/>
                <a:ea typeface="+mn-ea"/>
                <a:cs typeface="+mn-cs"/>
              </a:defRPr>
            </a:pPr>
            <a:endParaRPr lang="de-DE"/>
          </a:p>
        </c:txPr>
        <c:crossAx val="956651712"/>
        <c:crosses val="autoZero"/>
        <c:crossBetween val="between"/>
        <c:majorUnit val="5"/>
        <c:minorUnit val="2"/>
      </c:valAx>
    </c:plotArea>
    <c:plotVisOnly val="1"/>
    <c:dispBlanksAs val="gap"/>
    <c:showDLblsOverMax val="0"/>
    <c:extLst/>
  </c:chart>
  <c:spPr>
    <a:ln>
      <a:solidFill>
        <a:schemeClr val="tx1"/>
      </a:solidFill>
    </a:ln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600" b="1"/>
              <a:t>Technische</a:t>
            </a:r>
            <a:r>
              <a:rPr lang="de-DE" sz="1600" b="1" baseline="0"/>
              <a:t> Fähigkeiten</a:t>
            </a:r>
            <a:endParaRPr lang="de-DE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0.27648188283256009"/>
          <c:y val="0.34419532299931627"/>
          <c:w val="0.44703623433487982"/>
          <c:h val="0.34133639675121752"/>
        </c:manualLayout>
      </c:layout>
      <c:radarChart>
        <c:radarStyle val="filled"/>
        <c:varyColors val="0"/>
        <c:ser>
          <c:idx val="0"/>
          <c:order val="0"/>
          <c:spPr>
            <a:solidFill>
              <a:srgbClr val="55A54E"/>
            </a:solidFill>
            <a:ln>
              <a:noFill/>
            </a:ln>
            <a:effectLst/>
          </c:spPr>
          <c:cat>
            <c:strRef>
              <c:f>('Selbsteinschätzung Torwartspiel'!$A$12,'Selbsteinschätzung Torwartspiel'!$B$25,'Selbsteinschätzung Torwartspiel'!$B$29,'Selbsteinschätzung Torwartspiel'!$B$33,'Selbsteinschätzung Torwartspiel'!$B$39,'Selbsteinschätzung Torwartspiel'!$B$48)</c:f>
              <c:strCache>
                <c:ptCount val="6"/>
                <c:pt idx="0">
                  <c:v>Spieleröffnung</c:v>
                </c:pt>
                <c:pt idx="1">
                  <c:v>Basistechniken</c:v>
                </c:pt>
                <c:pt idx="2">
                  <c:v>Abkipptechniken</c:v>
                </c:pt>
                <c:pt idx="3">
                  <c:v>Abdrucktechniken</c:v>
                </c:pt>
                <c:pt idx="4">
                  <c:v>1vs.TW &amp; Nahdistanz</c:v>
                </c:pt>
                <c:pt idx="5">
                  <c:v>Flanken (Bewegungsablauf &amp; Timing)</c:v>
                </c:pt>
              </c:strCache>
            </c:strRef>
          </c:cat>
          <c:val>
            <c:numRef>
              <c:f>('Selbsteinschätzung Torwartspiel'!$D$12,'Selbsteinschätzung Torwartspiel'!$A$25,'Selbsteinschätzung Torwartspiel'!$A$29,'Selbsteinschätzung Torwartspiel'!$A$33,'Selbsteinschätzung Torwartspiel'!$A$39,'Selbsteinschätzung Torwartspiel'!$A$48)</c:f>
              <c:numCache>
                <c:formatCode>General</c:formatCode>
                <c:ptCount val="6"/>
                <c:pt idx="0">
                  <c:v>7.1428571428571432</c:v>
                </c:pt>
                <c:pt idx="1">
                  <c:v>12.5</c:v>
                </c:pt>
                <c:pt idx="2">
                  <c:v>12</c:v>
                </c:pt>
                <c:pt idx="3">
                  <c:v>11.5</c:v>
                </c:pt>
                <c:pt idx="4">
                  <c:v>10.5</c:v>
                </c:pt>
                <c:pt idx="5">
                  <c:v>7.25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B3-E147-BB53-503CC7F054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596703"/>
        <c:axId val="145406335"/>
      </c:radarChart>
      <c:catAx>
        <c:axId val="124596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5406335"/>
        <c:crosses val="autoZero"/>
        <c:auto val="1"/>
        <c:lblAlgn val="ctr"/>
        <c:lblOffset val="100"/>
        <c:noMultiLvlLbl val="0"/>
      </c:catAx>
      <c:valAx>
        <c:axId val="145406335"/>
        <c:scaling>
          <c:orientation val="minMax"/>
          <c:max val="1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4596703"/>
        <c:crosses val="autoZero"/>
        <c:crossBetween val="between"/>
        <c:majorUnit val="5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50196"/>
        </a:schemeClr>
      </a:solidFill>
      <a:ln w="25400">
        <a:solidFill>
          <a:schemeClr val="phClr"/>
        </a:solidFill>
        <a:prstDash val="sysDot"/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5400" cap="rnd" cmpd="sng" algn="ctr">
        <a:solidFill>
          <a:schemeClr val="phClr"/>
        </a:solidFill>
        <a:prstDash val="sysDot"/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image" Target="../media/image1.jpe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15679</xdr:colOff>
      <xdr:row>9</xdr:row>
      <xdr:rowOff>0</xdr:rowOff>
    </xdr:from>
    <xdr:to>
      <xdr:col>12</xdr:col>
      <xdr:colOff>0</xdr:colOff>
      <xdr:row>25</xdr:row>
      <xdr:rowOff>7495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A98EDF7C-DA46-3129-A29B-CD556AF17B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4469</xdr:colOff>
      <xdr:row>25</xdr:row>
      <xdr:rowOff>0</xdr:rowOff>
    </xdr:from>
    <xdr:to>
      <xdr:col>12</xdr:col>
      <xdr:colOff>1</xdr:colOff>
      <xdr:row>41</xdr:row>
      <xdr:rowOff>2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8789C057-34F4-8332-26A9-F836EC966F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11271</xdr:colOff>
      <xdr:row>41</xdr:row>
      <xdr:rowOff>8466</xdr:rowOff>
    </xdr:from>
    <xdr:to>
      <xdr:col>12</xdr:col>
      <xdr:colOff>0</xdr:colOff>
      <xdr:row>57</xdr:row>
      <xdr:rowOff>5858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5BE34011-35F3-DAC3-92D2-BA427C872E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13606</xdr:colOff>
      <xdr:row>56</xdr:row>
      <xdr:rowOff>196041</xdr:rowOff>
    </xdr:from>
    <xdr:to>
      <xdr:col>12</xdr:col>
      <xdr:colOff>9137</xdr:colOff>
      <xdr:row>72</xdr:row>
      <xdr:rowOff>205164</xdr:rowOff>
    </xdr:to>
    <xdr:graphicFrame macro="">
      <xdr:nvGraphicFramePr>
        <xdr:cNvPr id="7" name="Diagramm 6">
          <a:extLst>
            <a:ext uri="{FF2B5EF4-FFF2-40B4-BE49-F238E27FC236}">
              <a16:creationId xmlns:a16="http://schemas.microsoft.com/office/drawing/2014/main" id="{357F820A-2F77-3D0A-0E88-AA8367CA46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</xdr:colOff>
      <xdr:row>0</xdr:row>
      <xdr:rowOff>0</xdr:rowOff>
    </xdr:from>
    <xdr:to>
      <xdr:col>14</xdr:col>
      <xdr:colOff>999787</xdr:colOff>
      <xdr:row>9</xdr:row>
      <xdr:rowOff>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BEA7D3C0-BDFD-954D-BCAD-D2CCD10DB4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10160</xdr:colOff>
      <xdr:row>56</xdr:row>
      <xdr:rowOff>193040</xdr:rowOff>
    </xdr:from>
    <xdr:to>
      <xdr:col>14</xdr:col>
      <xdr:colOff>1005840</xdr:colOff>
      <xdr:row>72</xdr:row>
      <xdr:rowOff>193353</xdr:rowOff>
    </xdr:to>
    <xdr:graphicFrame macro="">
      <xdr:nvGraphicFramePr>
        <xdr:cNvPr id="13" name="Diagramm 12">
          <a:extLst>
            <a:ext uri="{FF2B5EF4-FFF2-40B4-BE49-F238E27FC236}">
              <a16:creationId xmlns:a16="http://schemas.microsoft.com/office/drawing/2014/main" id="{C83464DC-CC55-8C99-853E-D90073543A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12</xdr:col>
      <xdr:colOff>15902</xdr:colOff>
      <xdr:row>9</xdr:row>
      <xdr:rowOff>31750</xdr:rowOff>
    </xdr:from>
    <xdr:to>
      <xdr:col>14</xdr:col>
      <xdr:colOff>995775</xdr:colOff>
      <xdr:row>34</xdr:row>
      <xdr:rowOff>111125</xdr:rowOff>
    </xdr:to>
    <xdr:pic>
      <xdr:nvPicPr>
        <xdr:cNvPr id="5" name="Grafik 4" descr="Notentabelle - Noten umrechnen - Notenpunkte &amp; Schulnoten - besser lernen |  Schulnoten, Lernen tipps schule, Schule">
          <a:extLst>
            <a:ext uri="{FF2B5EF4-FFF2-40B4-BE49-F238E27FC236}">
              <a16:creationId xmlns:a16="http://schemas.microsoft.com/office/drawing/2014/main" id="{1EDA54EB-DDA0-4096-AD42-30B7C832BC7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060" t="24235" r="32886" b="7618"/>
        <a:stretch/>
      </xdr:blipFill>
      <xdr:spPr bwMode="auto">
        <a:xfrm>
          <a:off x="11636402" y="2413000"/>
          <a:ext cx="2630873" cy="5445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6F63F-DEB9-2047-B1CD-79776ABE6B5F}">
  <sheetPr>
    <pageSetUpPr fitToPage="1"/>
  </sheetPr>
  <dimension ref="A1:Q90"/>
  <sheetViews>
    <sheetView tabSelected="1" view="pageBreakPreview" topLeftCell="A52" zoomScale="81" zoomScaleNormal="62" workbookViewId="0">
      <selection activeCell="A83" sqref="A83:G85"/>
    </sheetView>
  </sheetViews>
  <sheetFormatPr baseColWidth="10" defaultColWidth="10.875" defaultRowHeight="15" x14ac:dyDescent="0.2"/>
  <cols>
    <col min="1" max="1" width="11.5" style="1" customWidth="1"/>
    <col min="2" max="2" width="11.25" style="1" customWidth="1"/>
    <col min="3" max="3" width="13.375" style="1" customWidth="1"/>
    <col min="4" max="4" width="11" style="8"/>
    <col min="5" max="5" width="10.875" style="1"/>
    <col min="6" max="6" width="27" style="1" bestFit="1" customWidth="1"/>
    <col min="7" max="7" width="13.375" style="1" customWidth="1"/>
    <col min="8" max="11" width="10.875" style="1"/>
    <col min="12" max="12" width="11.25" style="1" customWidth="1"/>
    <col min="13" max="14" width="10.875" style="1"/>
    <col min="15" max="15" width="13.375" style="1" customWidth="1"/>
    <col min="16" max="16384" width="10.875" style="1"/>
  </cols>
  <sheetData>
    <row r="1" spans="1:15" ht="39.950000000000003" customHeight="1" x14ac:dyDescent="0.5">
      <c r="A1" s="29" t="s">
        <v>0</v>
      </c>
      <c r="B1" s="30"/>
      <c r="C1" s="30"/>
      <c r="D1" s="30"/>
      <c r="E1" s="30"/>
      <c r="F1" s="30"/>
      <c r="G1" s="22"/>
      <c r="H1" s="22"/>
      <c r="I1" s="22"/>
      <c r="J1" s="22"/>
      <c r="K1" s="22"/>
      <c r="L1" s="22"/>
      <c r="M1" s="22"/>
      <c r="N1" s="22"/>
      <c r="O1" s="23"/>
    </row>
    <row r="2" spans="1:15" ht="18" customHeight="1" x14ac:dyDescent="0.2">
      <c r="A2" s="27" t="s">
        <v>54</v>
      </c>
      <c r="O2" s="24"/>
    </row>
    <row r="3" spans="1:15" ht="24.95" customHeight="1" x14ac:dyDescent="0.35">
      <c r="A3" s="9" t="s">
        <v>1</v>
      </c>
      <c r="B3" s="31" t="s">
        <v>56</v>
      </c>
      <c r="C3" s="31"/>
      <c r="D3" s="32"/>
      <c r="E3" s="10" t="s">
        <v>41</v>
      </c>
      <c r="F3" s="28">
        <v>45824</v>
      </c>
      <c r="O3" s="24"/>
    </row>
    <row r="4" spans="1:15" ht="20.100000000000001" customHeight="1" x14ac:dyDescent="0.2">
      <c r="A4" s="3"/>
      <c r="O4" s="24"/>
    </row>
    <row r="5" spans="1:15" ht="18.95" customHeight="1" x14ac:dyDescent="0.3">
      <c r="A5" s="11" t="s">
        <v>51</v>
      </c>
      <c r="O5" s="24"/>
    </row>
    <row r="6" spans="1:15" ht="18.95" customHeight="1" x14ac:dyDescent="0.3">
      <c r="A6" s="11" t="s">
        <v>52</v>
      </c>
      <c r="O6" s="24"/>
    </row>
    <row r="7" spans="1:15" ht="18.75" x14ac:dyDescent="0.3">
      <c r="A7" s="11" t="s">
        <v>13</v>
      </c>
      <c r="O7" s="24"/>
    </row>
    <row r="8" spans="1:15" x14ac:dyDescent="0.2">
      <c r="A8" s="3"/>
      <c r="O8" s="24"/>
    </row>
    <row r="9" spans="1:15" x14ac:dyDescent="0.2">
      <c r="A9" s="3"/>
      <c r="O9" s="24"/>
    </row>
    <row r="10" spans="1:15" ht="25.5" x14ac:dyDescent="0.35">
      <c r="A10" s="12" t="s">
        <v>33</v>
      </c>
      <c r="M10" s="44"/>
      <c r="N10" s="44"/>
      <c r="O10" s="45"/>
    </row>
    <row r="11" spans="1:15" x14ac:dyDescent="0.2">
      <c r="A11" s="3"/>
      <c r="M11" s="44"/>
      <c r="N11" s="44"/>
      <c r="O11" s="45"/>
    </row>
    <row r="12" spans="1:15" ht="20.25" x14ac:dyDescent="0.3">
      <c r="A12" s="2" t="s">
        <v>8</v>
      </c>
      <c r="D12" s="13">
        <f>AVERAGE(D14:D20)</f>
        <v>7.1428571428571432</v>
      </c>
      <c r="M12" s="44"/>
      <c r="N12" s="44"/>
      <c r="O12" s="45"/>
    </row>
    <row r="13" spans="1:15" ht="15.75" thickBot="1" x14ac:dyDescent="0.25">
      <c r="A13" s="3"/>
      <c r="M13" s="44"/>
      <c r="N13" s="44"/>
      <c r="O13" s="45"/>
    </row>
    <row r="14" spans="1:15" ht="15.75" thickBot="1" x14ac:dyDescent="0.25">
      <c r="A14" s="3"/>
      <c r="C14" s="4" t="s">
        <v>21</v>
      </c>
      <c r="D14" s="14">
        <v>8</v>
      </c>
      <c r="M14" s="44"/>
      <c r="N14" s="44"/>
      <c r="O14" s="45"/>
    </row>
    <row r="15" spans="1:15" ht="15.75" thickBot="1" x14ac:dyDescent="0.25">
      <c r="A15" s="3"/>
      <c r="C15" s="4" t="s">
        <v>20</v>
      </c>
      <c r="D15" s="14">
        <v>7</v>
      </c>
      <c r="M15" s="44"/>
      <c r="N15" s="44"/>
      <c r="O15" s="45"/>
    </row>
    <row r="16" spans="1:15" ht="15.75" thickBot="1" x14ac:dyDescent="0.25">
      <c r="A16" s="3"/>
      <c r="C16" s="4" t="s">
        <v>50</v>
      </c>
      <c r="D16" s="14">
        <v>5</v>
      </c>
      <c r="M16" s="44"/>
      <c r="N16" s="44"/>
      <c r="O16" s="45"/>
    </row>
    <row r="17" spans="1:15" ht="15.75" thickBot="1" x14ac:dyDescent="0.25">
      <c r="A17" s="3"/>
      <c r="C17" s="4" t="s">
        <v>19</v>
      </c>
      <c r="D17" s="14">
        <v>7</v>
      </c>
      <c r="M17" s="44"/>
      <c r="N17" s="44"/>
      <c r="O17" s="45"/>
    </row>
    <row r="18" spans="1:15" ht="15.75" thickBot="1" x14ac:dyDescent="0.25">
      <c r="A18" s="3"/>
      <c r="C18" s="4" t="s">
        <v>18</v>
      </c>
      <c r="D18" s="14">
        <v>9</v>
      </c>
      <c r="M18" s="44"/>
      <c r="N18" s="44"/>
      <c r="O18" s="45"/>
    </row>
    <row r="19" spans="1:15" ht="15.75" thickBot="1" x14ac:dyDescent="0.25">
      <c r="A19" s="3"/>
      <c r="C19" s="4" t="s">
        <v>55</v>
      </c>
      <c r="D19" s="14">
        <v>6</v>
      </c>
      <c r="M19" s="44"/>
      <c r="N19" s="44"/>
      <c r="O19" s="45"/>
    </row>
    <row r="20" spans="1:15" ht="15.75" thickBot="1" x14ac:dyDescent="0.25">
      <c r="A20" s="3"/>
      <c r="C20" s="4" t="s">
        <v>22</v>
      </c>
      <c r="D20" s="14">
        <v>8</v>
      </c>
      <c r="M20" s="44"/>
      <c r="N20" s="44"/>
      <c r="O20" s="45"/>
    </row>
    <row r="21" spans="1:15" x14ac:dyDescent="0.2">
      <c r="A21" s="3"/>
      <c r="M21" s="44"/>
      <c r="N21" s="44"/>
      <c r="O21" s="45"/>
    </row>
    <row r="22" spans="1:15" x14ac:dyDescent="0.2">
      <c r="A22" s="3"/>
      <c r="M22" s="44"/>
      <c r="N22" s="44"/>
      <c r="O22" s="45"/>
    </row>
    <row r="23" spans="1:15" ht="20.25" x14ac:dyDescent="0.3">
      <c r="A23" s="2" t="s">
        <v>9</v>
      </c>
      <c r="D23" s="13">
        <f>AVERAGE(D26:D27,D30:D31,D34:D37,D40:D43)</f>
        <v>11.416666666666666</v>
      </c>
      <c r="M23" s="44"/>
      <c r="N23" s="44"/>
      <c r="O23" s="45"/>
    </row>
    <row r="24" spans="1:15" x14ac:dyDescent="0.2">
      <c r="A24" s="3"/>
      <c r="M24" s="44"/>
      <c r="N24" s="44"/>
      <c r="O24" s="45"/>
    </row>
    <row r="25" spans="1:15" ht="18.75" thickBot="1" x14ac:dyDescent="0.3">
      <c r="A25" s="5">
        <f>AVERAGE(D26:D27)</f>
        <v>12.5</v>
      </c>
      <c r="B25" s="6" t="s">
        <v>2</v>
      </c>
      <c r="M25" s="44"/>
      <c r="N25" s="44"/>
      <c r="O25" s="45"/>
    </row>
    <row r="26" spans="1:15" ht="15.75" thickBot="1" x14ac:dyDescent="0.25">
      <c r="A26" s="3"/>
      <c r="C26" s="4" t="s">
        <v>23</v>
      </c>
      <c r="D26" s="15">
        <v>13</v>
      </c>
      <c r="M26" s="44"/>
      <c r="N26" s="44"/>
      <c r="O26" s="45"/>
    </row>
    <row r="27" spans="1:15" ht="15.75" thickBot="1" x14ac:dyDescent="0.25">
      <c r="A27" s="3"/>
      <c r="C27" s="4" t="s">
        <v>24</v>
      </c>
      <c r="D27" s="14">
        <v>12</v>
      </c>
      <c r="M27" s="44"/>
      <c r="N27" s="44"/>
      <c r="O27" s="45"/>
    </row>
    <row r="28" spans="1:15" x14ac:dyDescent="0.2">
      <c r="A28" s="3"/>
      <c r="M28" s="44"/>
      <c r="N28" s="44"/>
      <c r="O28" s="45"/>
    </row>
    <row r="29" spans="1:15" ht="18.75" thickBot="1" x14ac:dyDescent="0.3">
      <c r="A29" s="5">
        <f>AVERAGE(D30:D31)</f>
        <v>12</v>
      </c>
      <c r="B29" s="6" t="s">
        <v>3</v>
      </c>
      <c r="M29" s="44"/>
      <c r="N29" s="44"/>
      <c r="O29" s="45"/>
    </row>
    <row r="30" spans="1:15" ht="15.75" thickBot="1" x14ac:dyDescent="0.25">
      <c r="A30" s="3"/>
      <c r="C30" s="4" t="s">
        <v>44</v>
      </c>
      <c r="D30" s="14">
        <v>12</v>
      </c>
      <c r="M30" s="44"/>
      <c r="N30" s="44"/>
      <c r="O30" s="45"/>
    </row>
    <row r="31" spans="1:15" ht="15.75" thickBot="1" x14ac:dyDescent="0.25">
      <c r="A31" s="3"/>
      <c r="C31" s="4" t="s">
        <v>45</v>
      </c>
      <c r="D31" s="14">
        <v>12</v>
      </c>
      <c r="M31" s="44"/>
      <c r="N31" s="44"/>
      <c r="O31" s="45"/>
    </row>
    <row r="32" spans="1:15" x14ac:dyDescent="0.2">
      <c r="A32" s="3"/>
      <c r="C32" s="16"/>
      <c r="M32" s="44"/>
      <c r="N32" s="44"/>
      <c r="O32" s="45"/>
    </row>
    <row r="33" spans="1:17" ht="18.75" thickBot="1" x14ac:dyDescent="0.3">
      <c r="A33" s="17">
        <f>AVERAGE(D34:D37)</f>
        <v>11.5</v>
      </c>
      <c r="B33" s="6" t="s">
        <v>4</v>
      </c>
      <c r="D33" s="7" t="s">
        <v>43</v>
      </c>
      <c r="M33" s="44"/>
      <c r="N33" s="44"/>
      <c r="O33" s="45"/>
    </row>
    <row r="34" spans="1:17" ht="15.75" thickBot="1" x14ac:dyDescent="0.25">
      <c r="A34" s="3"/>
      <c r="C34" s="4" t="s">
        <v>46</v>
      </c>
      <c r="D34" s="14">
        <v>12</v>
      </c>
      <c r="M34" s="44"/>
      <c r="N34" s="44"/>
      <c r="O34" s="45"/>
    </row>
    <row r="35" spans="1:17" ht="15.75" thickBot="1" x14ac:dyDescent="0.25">
      <c r="A35" s="3"/>
      <c r="C35" s="4" t="s">
        <v>47</v>
      </c>
      <c r="D35" s="14">
        <v>13</v>
      </c>
      <c r="M35" s="44"/>
      <c r="N35" s="44"/>
      <c r="O35" s="45"/>
    </row>
    <row r="36" spans="1:17" ht="15.75" thickBot="1" x14ac:dyDescent="0.25">
      <c r="A36" s="3"/>
      <c r="C36" s="4" t="s">
        <v>25</v>
      </c>
      <c r="D36" s="14">
        <v>12</v>
      </c>
      <c r="M36" s="44"/>
      <c r="N36" s="44"/>
      <c r="O36" s="45"/>
    </row>
    <row r="37" spans="1:17" ht="15.75" thickBot="1" x14ac:dyDescent="0.25">
      <c r="A37" s="3"/>
      <c r="C37" s="4" t="s">
        <v>26</v>
      </c>
      <c r="D37" s="14">
        <v>9</v>
      </c>
      <c r="M37" s="44"/>
      <c r="N37" s="44"/>
      <c r="O37" s="45"/>
    </row>
    <row r="38" spans="1:17" x14ac:dyDescent="0.2">
      <c r="A38" s="3"/>
      <c r="M38" s="44"/>
      <c r="N38" s="44"/>
      <c r="O38" s="45"/>
    </row>
    <row r="39" spans="1:17" ht="18.75" thickBot="1" x14ac:dyDescent="0.3">
      <c r="A39" s="5">
        <f>AVERAGE(D40:D43)</f>
        <v>10.5</v>
      </c>
      <c r="B39" s="6" t="s">
        <v>5</v>
      </c>
      <c r="M39" s="44"/>
      <c r="N39" s="44"/>
      <c r="O39" s="45"/>
    </row>
    <row r="40" spans="1:17" ht="15.75" thickBot="1" x14ac:dyDescent="0.25">
      <c r="A40" s="3"/>
      <c r="C40" s="4" t="s">
        <v>27</v>
      </c>
      <c r="D40" s="14">
        <v>10</v>
      </c>
      <c r="M40" s="44"/>
      <c r="N40" s="44"/>
      <c r="O40" s="45"/>
    </row>
    <row r="41" spans="1:17" ht="15.75" thickBot="1" x14ac:dyDescent="0.25">
      <c r="A41" s="3"/>
      <c r="C41" s="4" t="s">
        <v>48</v>
      </c>
      <c r="D41" s="14">
        <v>11</v>
      </c>
      <c r="M41" s="44"/>
      <c r="N41" s="44"/>
      <c r="O41" s="45"/>
    </row>
    <row r="42" spans="1:17" ht="15.75" thickBot="1" x14ac:dyDescent="0.25">
      <c r="A42" s="3"/>
      <c r="C42" s="4" t="s">
        <v>49</v>
      </c>
      <c r="D42" s="14">
        <v>12</v>
      </c>
      <c r="M42" s="44"/>
      <c r="N42" s="44"/>
      <c r="O42" s="45"/>
    </row>
    <row r="43" spans="1:17" ht="15.75" thickBot="1" x14ac:dyDescent="0.25">
      <c r="A43" s="3"/>
      <c r="C43" s="4" t="s">
        <v>28</v>
      </c>
      <c r="D43" s="14">
        <v>9</v>
      </c>
      <c r="M43" s="44"/>
      <c r="N43" s="44"/>
      <c r="O43" s="45"/>
    </row>
    <row r="44" spans="1:17" ht="15.75" x14ac:dyDescent="0.25">
      <c r="A44" s="3"/>
      <c r="M44" s="44"/>
      <c r="N44" s="44"/>
      <c r="O44" s="45"/>
      <c r="Q44" s="25"/>
    </row>
    <row r="45" spans="1:17" x14ac:dyDescent="0.2">
      <c r="A45" s="3"/>
      <c r="M45" s="44"/>
      <c r="N45" s="44"/>
      <c r="O45" s="45"/>
    </row>
    <row r="46" spans="1:17" ht="20.25" x14ac:dyDescent="0.3">
      <c r="A46" s="2" t="s">
        <v>10</v>
      </c>
      <c r="D46" s="13">
        <f>AVERAGE(D49:D52)</f>
        <v>7.25</v>
      </c>
      <c r="M46" s="44"/>
      <c r="N46" s="44"/>
      <c r="O46" s="45"/>
    </row>
    <row r="47" spans="1:17" x14ac:dyDescent="0.2">
      <c r="A47" s="3"/>
      <c r="M47" s="44"/>
      <c r="N47" s="44"/>
      <c r="O47" s="45"/>
    </row>
    <row r="48" spans="1:17" ht="18.75" thickBot="1" x14ac:dyDescent="0.3">
      <c r="A48" s="5">
        <f>AVERAGE(D49:D52)</f>
        <v>7.25</v>
      </c>
      <c r="B48" s="6" t="s">
        <v>6</v>
      </c>
      <c r="M48" s="44"/>
      <c r="N48" s="44"/>
      <c r="O48" s="45"/>
    </row>
    <row r="49" spans="1:17" ht="15.75" thickBot="1" x14ac:dyDescent="0.25">
      <c r="A49" s="3"/>
      <c r="C49" s="4" t="s">
        <v>29</v>
      </c>
      <c r="D49" s="14">
        <v>7</v>
      </c>
      <c r="M49" s="44"/>
      <c r="N49" s="44"/>
      <c r="O49" s="45"/>
    </row>
    <row r="50" spans="1:17" ht="15.75" thickBot="1" x14ac:dyDescent="0.25">
      <c r="A50" s="3"/>
      <c r="C50" s="4" t="s">
        <v>30</v>
      </c>
      <c r="D50" s="14">
        <v>7</v>
      </c>
      <c r="M50" s="44"/>
      <c r="N50" s="44"/>
      <c r="O50" s="45"/>
    </row>
    <row r="51" spans="1:17" ht="15.75" thickBot="1" x14ac:dyDescent="0.25">
      <c r="A51" s="3"/>
      <c r="C51" s="4" t="s">
        <v>42</v>
      </c>
      <c r="D51" s="14">
        <v>6</v>
      </c>
      <c r="M51" s="44"/>
      <c r="N51" s="44"/>
      <c r="O51" s="45"/>
    </row>
    <row r="52" spans="1:17" ht="15.75" thickBot="1" x14ac:dyDescent="0.25">
      <c r="A52" s="3"/>
      <c r="C52" s="4" t="s">
        <v>31</v>
      </c>
      <c r="D52" s="14">
        <v>9</v>
      </c>
      <c r="M52" s="44"/>
      <c r="N52" s="44"/>
      <c r="O52" s="45"/>
    </row>
    <row r="53" spans="1:17" x14ac:dyDescent="0.2">
      <c r="A53" s="3"/>
      <c r="M53" s="44"/>
      <c r="N53" s="44"/>
      <c r="O53" s="45"/>
    </row>
    <row r="54" spans="1:17" ht="15.75" x14ac:dyDescent="0.25">
      <c r="A54" s="3"/>
      <c r="M54" s="44"/>
      <c r="N54" s="44"/>
      <c r="O54" s="45"/>
      <c r="Q54"/>
    </row>
    <row r="55" spans="1:17" x14ac:dyDescent="0.2">
      <c r="A55" s="3"/>
      <c r="M55" s="44"/>
      <c r="N55" s="44"/>
      <c r="O55" s="45"/>
    </row>
    <row r="56" spans="1:17" ht="25.5" x14ac:dyDescent="0.35">
      <c r="A56" s="12" t="s">
        <v>32</v>
      </c>
      <c r="D56" s="13">
        <f>AVERAGE(D60:D64,D69:D70)</f>
        <v>8</v>
      </c>
      <c r="M56" s="44"/>
      <c r="N56" s="44"/>
      <c r="O56" s="45"/>
    </row>
    <row r="57" spans="1:17" x14ac:dyDescent="0.2">
      <c r="A57" s="3"/>
      <c r="M57" s="44"/>
      <c r="N57" s="44"/>
      <c r="O57" s="45"/>
    </row>
    <row r="58" spans="1:17" ht="20.25" x14ac:dyDescent="0.3">
      <c r="A58" s="2" t="s">
        <v>11</v>
      </c>
      <c r="O58" s="24"/>
    </row>
    <row r="59" spans="1:17" ht="15.75" thickBot="1" x14ac:dyDescent="0.25">
      <c r="A59" s="3"/>
      <c r="O59" s="24"/>
    </row>
    <row r="60" spans="1:17" ht="15.75" thickBot="1" x14ac:dyDescent="0.25">
      <c r="A60" s="3"/>
      <c r="C60" s="4" t="s">
        <v>34</v>
      </c>
      <c r="D60" s="14">
        <v>11</v>
      </c>
      <c r="O60" s="24"/>
    </row>
    <row r="61" spans="1:17" ht="15.75" thickBot="1" x14ac:dyDescent="0.25">
      <c r="A61" s="3"/>
      <c r="C61" s="4" t="s">
        <v>35</v>
      </c>
      <c r="D61" s="14">
        <v>10</v>
      </c>
      <c r="O61" s="24"/>
    </row>
    <row r="62" spans="1:17" ht="15.75" thickBot="1" x14ac:dyDescent="0.25">
      <c r="A62" s="3"/>
      <c r="C62" s="4" t="s">
        <v>36</v>
      </c>
      <c r="D62" s="14">
        <v>7</v>
      </c>
      <c r="O62" s="24"/>
    </row>
    <row r="63" spans="1:17" ht="15.75" thickBot="1" x14ac:dyDescent="0.25">
      <c r="A63" s="3"/>
      <c r="C63" s="4" t="s">
        <v>40</v>
      </c>
      <c r="D63" s="14">
        <v>7</v>
      </c>
      <c r="O63" s="24"/>
    </row>
    <row r="64" spans="1:17" ht="15.75" thickBot="1" x14ac:dyDescent="0.25">
      <c r="A64" s="3"/>
      <c r="C64" s="4" t="s">
        <v>37</v>
      </c>
      <c r="D64" s="14">
        <v>10</v>
      </c>
      <c r="O64" s="24"/>
    </row>
    <row r="65" spans="1:16" x14ac:dyDescent="0.2">
      <c r="A65" s="3"/>
      <c r="O65" s="24"/>
    </row>
    <row r="66" spans="1:16" x14ac:dyDescent="0.2">
      <c r="A66" s="3"/>
      <c r="O66" s="24"/>
    </row>
    <row r="67" spans="1:16" ht="20.25" x14ac:dyDescent="0.3">
      <c r="A67" s="2" t="s">
        <v>12</v>
      </c>
      <c r="O67" s="24"/>
    </row>
    <row r="68" spans="1:16" ht="15.75" thickBot="1" x14ac:dyDescent="0.25">
      <c r="A68" s="3"/>
      <c r="O68" s="24"/>
    </row>
    <row r="69" spans="1:16" ht="15.75" thickBot="1" x14ac:dyDescent="0.25">
      <c r="A69" s="3"/>
      <c r="C69" s="4" t="s">
        <v>38</v>
      </c>
      <c r="D69" s="14">
        <v>5</v>
      </c>
      <c r="O69" s="24"/>
    </row>
    <row r="70" spans="1:16" ht="15.75" thickBot="1" x14ac:dyDescent="0.25">
      <c r="A70" s="3"/>
      <c r="C70" s="4" t="s">
        <v>39</v>
      </c>
      <c r="D70" s="18">
        <v>6</v>
      </c>
      <c r="O70" s="24"/>
    </row>
    <row r="71" spans="1:16" x14ac:dyDescent="0.2">
      <c r="A71" s="3"/>
      <c r="O71" s="24"/>
    </row>
    <row r="72" spans="1:16" x14ac:dyDescent="0.2">
      <c r="A72" s="3"/>
      <c r="O72" s="24"/>
    </row>
    <row r="73" spans="1:16" ht="15.75" thickBot="1" x14ac:dyDescent="0.25">
      <c r="A73" s="19"/>
      <c r="B73" s="20"/>
      <c r="C73" s="20"/>
      <c r="D73" s="21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6"/>
    </row>
    <row r="74" spans="1:16" ht="16.5" thickTop="1" thickBot="1" x14ac:dyDescent="0.25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40"/>
      <c r="P74" s="3"/>
    </row>
    <row r="75" spans="1:16" ht="18" thickBot="1" x14ac:dyDescent="0.3">
      <c r="A75" s="33" t="s">
        <v>53</v>
      </c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5"/>
      <c r="N75" s="55"/>
      <c r="O75" s="56"/>
      <c r="P75" s="3"/>
    </row>
    <row r="76" spans="1:16" ht="15.75" thickBot="1" x14ac:dyDescent="0.25">
      <c r="A76" s="41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3"/>
      <c r="P76" s="3"/>
    </row>
    <row r="77" spans="1:16" ht="16.5" x14ac:dyDescent="0.25">
      <c r="A77" s="36" t="s">
        <v>15</v>
      </c>
      <c r="B77" s="37"/>
      <c r="C77" s="37"/>
      <c r="D77" s="37"/>
      <c r="E77" s="37"/>
      <c r="F77" s="37"/>
      <c r="G77" s="38"/>
      <c r="I77" s="36" t="s">
        <v>14</v>
      </c>
      <c r="J77" s="37"/>
      <c r="K77" s="37"/>
      <c r="L77" s="37"/>
      <c r="M77" s="37"/>
      <c r="N77" s="37"/>
      <c r="O77" s="38"/>
    </row>
    <row r="78" spans="1:16" ht="18" customHeight="1" x14ac:dyDescent="0.2">
      <c r="A78" s="46" t="s">
        <v>60</v>
      </c>
      <c r="B78" s="47"/>
      <c r="C78" s="47"/>
      <c r="D78" s="47"/>
      <c r="E78" s="47"/>
      <c r="F78" s="47"/>
      <c r="G78" s="48"/>
      <c r="I78" s="46" t="s">
        <v>57</v>
      </c>
      <c r="J78" s="47"/>
      <c r="K78" s="47"/>
      <c r="L78" s="47"/>
      <c r="M78" s="47"/>
      <c r="N78" s="47"/>
      <c r="O78" s="48"/>
    </row>
    <row r="79" spans="1:16" ht="15.75" customHeight="1" x14ac:dyDescent="0.2">
      <c r="A79" s="49"/>
      <c r="B79" s="50"/>
      <c r="C79" s="50"/>
      <c r="D79" s="50"/>
      <c r="E79" s="50"/>
      <c r="F79" s="50"/>
      <c r="G79" s="51"/>
      <c r="I79" s="49"/>
      <c r="J79" s="50"/>
      <c r="K79" s="50"/>
      <c r="L79" s="50"/>
      <c r="M79" s="50"/>
      <c r="N79" s="50"/>
      <c r="O79" s="51"/>
    </row>
    <row r="80" spans="1:16" ht="16.5" customHeight="1" thickBot="1" x14ac:dyDescent="0.25">
      <c r="A80" s="52"/>
      <c r="B80" s="53"/>
      <c r="C80" s="53"/>
      <c r="D80" s="53"/>
      <c r="E80" s="53"/>
      <c r="F80" s="53"/>
      <c r="G80" s="54"/>
      <c r="I80" s="52"/>
      <c r="J80" s="53"/>
      <c r="K80" s="53"/>
      <c r="L80" s="53"/>
      <c r="M80" s="53"/>
      <c r="N80" s="53"/>
      <c r="O80" s="54"/>
    </row>
    <row r="81" spans="1:15" ht="15.75" thickBot="1" x14ac:dyDescent="0.25">
      <c r="A81" s="60"/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2"/>
    </row>
    <row r="82" spans="1:15" ht="16.5" x14ac:dyDescent="0.25">
      <c r="A82" s="36" t="s">
        <v>16</v>
      </c>
      <c r="B82" s="37"/>
      <c r="C82" s="37"/>
      <c r="D82" s="37"/>
      <c r="E82" s="37"/>
      <c r="F82" s="37"/>
      <c r="G82" s="38"/>
      <c r="I82" s="36" t="s">
        <v>17</v>
      </c>
      <c r="J82" s="37"/>
      <c r="K82" s="37"/>
      <c r="L82" s="37"/>
      <c r="M82" s="37"/>
      <c r="N82" s="37"/>
      <c r="O82" s="38"/>
    </row>
    <row r="83" spans="1:15" ht="15.75" customHeight="1" x14ac:dyDescent="0.2">
      <c r="A83" s="46" t="s">
        <v>59</v>
      </c>
      <c r="B83" s="47"/>
      <c r="C83" s="47"/>
      <c r="D83" s="47"/>
      <c r="E83" s="47"/>
      <c r="F83" s="47"/>
      <c r="G83" s="48"/>
      <c r="I83" s="46" t="s">
        <v>58</v>
      </c>
      <c r="J83" s="47"/>
      <c r="K83" s="47"/>
      <c r="L83" s="47"/>
      <c r="M83" s="47"/>
      <c r="N83" s="47"/>
      <c r="O83" s="48"/>
    </row>
    <row r="84" spans="1:15" ht="15.75" customHeight="1" x14ac:dyDescent="0.2">
      <c r="A84" s="49"/>
      <c r="B84" s="50"/>
      <c r="C84" s="50"/>
      <c r="D84" s="50"/>
      <c r="E84" s="50"/>
      <c r="F84" s="50"/>
      <c r="G84" s="51"/>
      <c r="I84" s="49"/>
      <c r="J84" s="50"/>
      <c r="K84" s="50"/>
      <c r="L84" s="50"/>
      <c r="M84" s="50"/>
      <c r="N84" s="50"/>
      <c r="O84" s="51"/>
    </row>
    <row r="85" spans="1:15" ht="16.5" customHeight="1" thickBot="1" x14ac:dyDescent="0.25">
      <c r="A85" s="52"/>
      <c r="B85" s="53"/>
      <c r="C85" s="53"/>
      <c r="D85" s="53"/>
      <c r="E85" s="53"/>
      <c r="F85" s="53"/>
      <c r="G85" s="54"/>
      <c r="I85" s="52"/>
      <c r="J85" s="53"/>
      <c r="K85" s="53"/>
      <c r="L85" s="53"/>
      <c r="M85" s="53"/>
      <c r="N85" s="53"/>
      <c r="O85" s="54"/>
    </row>
    <row r="86" spans="1:15" ht="15.75" thickBot="1" x14ac:dyDescent="0.25">
      <c r="A86" s="57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9"/>
    </row>
    <row r="87" spans="1:15" ht="16.5" x14ac:dyDescent="0.25">
      <c r="A87" s="36" t="s">
        <v>7</v>
      </c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8"/>
    </row>
    <row r="88" spans="1:15" ht="15.75" customHeight="1" x14ac:dyDescent="0.2">
      <c r="A88" s="46" t="s">
        <v>59</v>
      </c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8"/>
    </row>
    <row r="89" spans="1:15" ht="15.75" customHeight="1" x14ac:dyDescent="0.2">
      <c r="A89" s="49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1"/>
    </row>
    <row r="90" spans="1:15" ht="15.75" customHeight="1" thickBot="1" x14ac:dyDescent="0.25">
      <c r="A90" s="52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4"/>
    </row>
  </sheetData>
  <sheetProtection algorithmName="SHA-512" hashValue="0EY/kYYvqzC+bX4t9lO70isi8HIxNv1BZ0RK1XhBgZvCZpSnuxNdcg/ota6TYO3xO23OFbyScH9PJDveQyXk/w==" saltValue="91oIp9wNFEMBfP4Zt5pmHw==" spinCount="100000" sheet="1" objects="1" scenarios="1" selectLockedCells="1"/>
  <mergeCells count="19">
    <mergeCell ref="A88:O90"/>
    <mergeCell ref="N75:O75"/>
    <mergeCell ref="A87:O87"/>
    <mergeCell ref="I82:O82"/>
    <mergeCell ref="A82:G82"/>
    <mergeCell ref="A86:O86"/>
    <mergeCell ref="A83:G85"/>
    <mergeCell ref="A78:G80"/>
    <mergeCell ref="I78:O80"/>
    <mergeCell ref="I83:O85"/>
    <mergeCell ref="A81:O81"/>
    <mergeCell ref="A1:F1"/>
    <mergeCell ref="B3:D3"/>
    <mergeCell ref="A75:M75"/>
    <mergeCell ref="A77:G77"/>
    <mergeCell ref="I77:O77"/>
    <mergeCell ref="A74:O74"/>
    <mergeCell ref="A76:O76"/>
    <mergeCell ref="M10:O57"/>
  </mergeCells>
  <conditionalFormatting sqref="D14:D20 D26:D27 D30:D31 D34:D37 D40:D43 D49:D52 D60:D64 D69:D70">
    <cfRule type="containsBlanks" dxfId="8" priority="3">
      <formula>LEN(TRIM(D14))=0</formula>
    </cfRule>
    <cfRule type="cellIs" dxfId="7" priority="4" operator="equal">
      <formula>0</formula>
    </cfRule>
    <cfRule type="cellIs" dxfId="6" priority="5" operator="between">
      <formula>3</formula>
      <formula>1</formula>
    </cfRule>
    <cfRule type="cellIs" dxfId="5" priority="6" operator="between">
      <formula>6</formula>
      <formula>4</formula>
    </cfRule>
    <cfRule type="cellIs" dxfId="4" priority="7" operator="between">
      <formula>9</formula>
      <formula>7</formula>
    </cfRule>
    <cfRule type="cellIs" dxfId="3" priority="8" operator="between">
      <formula>15</formula>
      <formula>13</formula>
    </cfRule>
    <cfRule type="cellIs" dxfId="2" priority="9" operator="between">
      <formula>12</formula>
      <formula>10</formula>
    </cfRule>
  </conditionalFormatting>
  <conditionalFormatting sqref="N75:O75">
    <cfRule type="containsText" dxfId="1" priority="1" operator="containsText" text="nein">
      <formula>NOT(ISERROR(SEARCH("nein",N75)))</formula>
    </cfRule>
    <cfRule type="containsText" dxfId="0" priority="2" operator="containsText" text="ja">
      <formula>NOT(ISERROR(SEARCH("ja",N75)))</formula>
    </cfRule>
  </conditionalFormatting>
  <pageMargins left="0.25" right="0.25" top="0.75" bottom="0.75" header="0.3" footer="0.3"/>
  <pageSetup paperSize="9" scale="4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Selbsteinschätzung Torwartspiel</vt:lpstr>
      <vt:lpstr>'Selbsteinschätzung Torwartspiel'!Druckbereich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Schwall, Vincent</cp:lastModifiedBy>
  <dcterms:created xsi:type="dcterms:W3CDTF">2022-12-25T20:45:59Z</dcterms:created>
  <dcterms:modified xsi:type="dcterms:W3CDTF">2025-06-16T15:31:50Z</dcterms:modified>
</cp:coreProperties>
</file>